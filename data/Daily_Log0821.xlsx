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13_ncr:1_{BA343ABB-4394-DF44-BE29-DCC3B20F1EF5}" xr6:coauthVersionLast="47" xr6:coauthVersionMax="47" xr10:uidLastSave="{00000000-0000-0000-0000-000000000000}"/>
  <bookViews>
    <workbookView xWindow="0" yWindow="660" windowWidth="29400" windowHeight="17060" xr2:uid="{53B95C97-CE48-2A44-9F1C-54DC2CCE3C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I5" i="1" a="1"/>
  <c r="I5" i="1" s="1"/>
  <c r="H3" i="1"/>
  <c r="H4" i="1"/>
  <c r="H5" i="1"/>
  <c r="H6" i="1"/>
  <c r="H2" i="1"/>
  <c r="G3" i="1"/>
  <c r="J3" i="1" s="1"/>
  <c r="G4" i="1"/>
  <c r="J4" i="1" s="1"/>
  <c r="G5" i="1"/>
  <c r="J5" i="1" s="1"/>
  <c r="G6" i="1"/>
  <c r="I6" i="1" s="1" a="1"/>
  <c r="I6" i="1" s="1"/>
  <c r="G2" i="1"/>
  <c r="I2" i="1" s="1" a="1"/>
  <c r="I2" i="1" s="1"/>
  <c r="J2" i="1" l="1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<sst xmlns="http://schemas.openxmlformats.org/spreadsheetml/2006/main" count="15" uniqueCount="15">
  <si>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任務</t>
  </si>
  <si>
    <t>預計分鐘</t>
  </si>
  <si>
    <t>實際分鐘</t>
  </si>
  <si>
    <t>預計項目數</t>
  </si>
  <si>
    <t>完成項目數</t>
  </si>
  <si>
    <t>時間完成率</t>
  </si>
  <si>
    <t>每項平均分鐘</t>
  </si>
  <si>
    <t>進度狀態</t>
  </si>
  <si>
    <t>系統提醒</t>
  </si>
  <si>
    <t>IF 練習</t>
  </si>
  <si>
    <t>IFERROR 練習</t>
  </si>
  <si>
    <t>IFS 練習</t>
  </si>
  <si>
    <t>AND／OR 練習</t>
  </si>
  <si>
    <t>整合測試</t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</si>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</sst>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>
    <font>
      <sz val="12"/>
      <color theme="1"/>
      <name val="苹方-繁"/>
      <family val="2"/>
      <charset val="136"/>
    </font>
    <font>
      <sz val="9"/>
      <name val="苹方-繁"/>
      <family val="2"/>
      <charset val="136"/>
    </font>
    <font>
      <sz val="12"/>
      <color theme="1"/>
      <name val="宋體-繁 標準體"/>
      <family val="3"/>
      <charset val="136"/>
    </font>
    <font>
      <sz val="12"/>
      <color theme="1"/>
      <name val="宋體-繁 標準體"/>
      <charset val="136"/>
    </font>
    <font>
      <sz val="12"/>
      <color theme="0"/>
      <name val="宋體-繁 標準體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4" fillId="2" borderId="0" xfId="0" applyFont="1" applyFill="1">
      <alignment vertical="center"/>
    </xf>
    <xf numFmtId="10" fontId="4" fillId="2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7F0-8E19-2542-ACCC-31CC80A1D96A}">
  <dimension ref="A1:J6"/>
  <sheetViews>
    <sheetView tabSelected="1" zoomScale="150" workbookViewId="0">
      <selection activeCell="D2" sqref="D2"/>
    </sheetView>
  </sheetViews>
  <sheetFormatPr baseColWidth="10" defaultRowHeight="19"/>
  <cols>
    <col min="1" max="1" width="7.5703125" style="1" bestFit="1" customWidth="1"/>
    <col min="2" max="2" width="13.7109375" style="1" bestFit="1" customWidth="1"/>
    <col min="3" max="6" width="10.7109375" style="1"/>
    <col min="7" max="7" width="10.7109375" style="3"/>
    <col min="8" max="16384" width="10.7109375" style="1"/>
  </cols>
  <sheetData>
    <row r="1" spans="1:10">
      <c r="A1" s="4" t="s">
        <v>14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</row>
    <row r="2" spans="1:10">
      <c r="A2" s="2">
        <v>46255</v>
      </c>
      <c r="B2" s="1" t="s">
        <v>9</v>
      </c>
      <c r="C2" s="1">
        <v>15</v>
      </c>
      <c r="D2" s="1">
        <v>15</v>
      </c>
      <c r="E2" s="1">
        <v>2</v>
      </c>
      <c r="F2" s="1">
        <v>2</v>
      </c>
      <c r="G2" s="3">
        <f>IFERROR(D2/C2,0)</f>
        <v>1</v>
      </c>
      <c r="H2" s="1">
        <f>IFERROR(D2/F2,0)</f>
        <v>7.5</v>
      </c>
      <c r="I2" s="1" t="str" cm="1">
        <f t="array" ref="I2">_xlfn.IFS(G2&gt;=100%,"完成",G2&gt;=60%,"進行中",TRUE,"落後")</f>
        <v>完成</v>
      </c>
      <c r="J2" s="1" t="str">
        <f>IF(AND(F2=E2,G2&gt;=100%),"全部完成",IF(OR(G2&lt;60%,F2=0),"需要處理","持續進行"))</f>
        <v>全部完成</v>
      </c>
    </row>
    <row r="3" spans="1:10">
      <c r="A3" s="2">
        <v>46255</v>
      </c>
      <c r="B3" s="1" t="s">
        <v>10</v>
      </c>
      <c r="C3" s="1">
        <v>15</v>
      </c>
      <c r="D3" s="1">
        <v>10</v>
      </c>
      <c r="E3" s="1">
        <v>2</v>
      </c>
      <c r="F3" s="1">
        <v>1</v>
      </c>
      <c r="G3" s="3">
        <f t="shared" ref="G3:G6" si="0">IFERROR(D3/C3,0)</f>
        <v>0.66666666666666663</v>
      </c>
      <c r="H3" s="1">
        <f t="shared" ref="H3:H6" si="1">IFERROR(D3/F3,0)</f>
        <v>10</v>
      </c>
      <c r="I3" s="1" t="str" cm="1">
        <f t="array" ref="I3">_xlfn.IFS(G3&gt;=100%,"完成",G3&gt;=60%,"進行中",TRUE,"落後")</f>
        <v>進行中</v>
      </c>
      <c r="J3" s="1" t="str">
        <f t="shared" ref="J3:J6" si="2">IF(AND(F3=E3,G3&gt;=100%),"全部完成",IF(OR(G3&lt;60%,F3=0),"需要處理","持續進行"))</f>
        <v>持續進行</v>
      </c>
    </row>
    <row r="4" spans="1:10">
      <c r="A4" s="2">
        <v>46255</v>
      </c>
      <c r="B4" s="1" t="s">
        <v>11</v>
      </c>
      <c r="C4" s="1">
        <v>15</v>
      </c>
      <c r="D4" s="1">
        <v>5</v>
      </c>
      <c r="E4" s="1">
        <v>2</v>
      </c>
      <c r="F4" s="1">
        <v>0</v>
      </c>
      <c r="G4" s="3">
        <f t="shared" si="0"/>
        <v>0.33333333333333331</v>
      </c>
      <c r="H4" s="1">
        <f t="shared" si="1"/>
        <v>0</v>
      </c>
      <c r="I4" s="1" t="str" cm="1">
        <f t="array" ref="I4">_xlfn.IFS(G4&gt;=100%,"完成",G4&gt;=60%,"進行中",TRUE,"落後")</f>
        <v>落後</v>
      </c>
      <c r="J4" s="1" t="str">
        <f t="shared" si="2"/>
        <v>需要處理</v>
      </c>
    </row>
    <row r="5" spans="1:10">
      <c r="A5" s="2">
        <v>46255</v>
      </c>
      <c r="B5" s="1" t="s">
        <v>12</v>
      </c>
      <c r="C5" s="1">
        <v>15</v>
      </c>
      <c r="D5" s="1">
        <v>12</v>
      </c>
      <c r="E5" s="1">
        <v>2</v>
      </c>
      <c r="F5" s="1">
        <v>1</v>
      </c>
      <c r="G5" s="3">
        <f t="shared" si="0"/>
        <v>0.8</v>
      </c>
      <c r="H5" s="1">
        <f t="shared" si="1"/>
        <v>12</v>
      </c>
      <c r="I5" s="1" t="str" cm="1">
        <f t="array" ref="I5">_xlfn.IFS(G5&gt;=100%,"完成",G5&gt;=60%,"進行中",TRUE,"落後")</f>
        <v>進行中</v>
      </c>
      <c r="J5" s="1" t="str">
        <f t="shared" si="2"/>
        <v>持續進行</v>
      </c>
    </row>
    <row r="6" spans="1:10">
      <c r="A6" s="2">
        <v>46255</v>
      </c>
      <c r="B6" s="1" t="s">
        <v>13</v>
      </c>
      <c r="C6" s="1">
        <v>0</v>
      </c>
      <c r="D6" s="1">
        <v>0</v>
      </c>
      <c r="E6" s="1">
        <v>0</v>
      </c>
      <c r="F6" s="1">
        <v>0</v>
      </c>
      <c r="G6" s="3">
        <f t="shared" si="0"/>
        <v>0</v>
      </c>
      <c r="H6" s="1">
        <f t="shared" si="1"/>
        <v>0</v>
      </c>
      <c r="I6" s="1" t="str" cm="1">
        <f t="array" ref="I6">_xlfn.IFS(G6&gt;=100%,"完成",G6&gt;=60%,"進行中",TRUE,"落後")</f>
        <v>落後</v>
      </c>
      <c r="J6" s="1" t="str">
        <f t="shared" si="2"/>
        <v>需要處理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2026-08-21T08:54:22Z</dcterms:created>
  <dcterms:modified xsi:type="dcterms:W3CDTF">2026-08-21T09:11:42Z</dcterms:modified>
</cp:coreProperties>
</file>