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unen/Documents/GitHub/study-progress-dashboard/data/"/>
    </mc:Choice>
  </mc:AlternateContent>
  <xr:revisionPtr revIDLastSave="0" documentId="13_ncr:1_{DCFB0CE7-1504-C747-AF19-C59C4C3BF918}" xr6:coauthVersionLast="47" xr6:coauthVersionMax="47" xr10:uidLastSave="{00000000-0000-0000-0000-000000000000}"/>
  <bookViews>
    <workbookView xWindow="0" yWindow="660" windowWidth="29400" windowHeight="18460" xr2:uid="{F2587A04-3247-8D44-A971-A4B14F10A3F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L4" i="1"/>
  <c r="L2" i="1"/>
  <c r="J3" i="1"/>
  <c r="J4" i="1"/>
  <c r="J2" i="1"/>
  <c r="I3" i="1"/>
  <c r="I4" i="1"/>
  <c r="I2" i="1"/>
  <c r="K3" i="1"/>
  <c r="K4" i="1"/>
  <c r="K2" i="1"/>
  <c r="H3" i="1"/>
  <c r="H4" i="1"/>
  <c r="H2" i="1"/>
</calcChain>
</file>

<file path=xl/sharedStrings.xml><?xml version="1.0" encoding="utf-8"?>
<sst xmlns="http://schemas.openxmlformats.org/spreadsheetml/2006/main" count="38" uniqueCount="25">
  <si>
    <t>日期</t>
  </si>
  <si>
    <t>類別</t>
  </si>
  <si>
    <t>任務</t>
  </si>
  <si>
    <t>實際分鐘</t>
  </si>
  <si>
    <t>狀態</t>
  </si>
  <si>
    <t>GitHub</t>
  </si>
  <si>
    <t>建立儲存庫</t>
  </si>
  <si>
    <t>完成</t>
  </si>
  <si>
    <t>Excel</t>
  </si>
  <si>
    <t>表格基礎</t>
  </si>
  <si>
    <t>邏輯函數</t>
  </si>
  <si>
    <t>條件統計</t>
  </si>
  <si>
    <t>Python</t>
  </si>
  <si>
    <t>變數練習</t>
  </si>
  <si>
    <t>落後</t>
  </si>
  <si>
    <t>IF 練習</t>
  </si>
  <si>
    <t>更新 README</t>
  </si>
  <si>
    <t>函數練習</t>
  </si>
  <si>
    <t>待開始</t>
  </si>
  <si>
    <t>總分鐘</t>
  </si>
  <si>
    <t>完成次數</t>
  </si>
  <si>
    <t>落後次數</t>
  </si>
  <si>
    <t>完成分鐘</t>
  </si>
  <si>
    <t>完成任務平均分鐘</t>
  </si>
  <si>
    <t>完成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</si>
</sst>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3">
    <font>
      <sz val="12"/>
      <color theme="1"/>
      <name val="苹方-繁"/>
      <family val="2"/>
      <charset val="136"/>
    </font>
    <font>
      <b/>
      <sz val="12"/>
      <color theme="1"/>
      <name val="苹方-繁"/>
      <family val="2"/>
      <charset val="136"/>
    </font>
    <font>
      <sz val="9"/>
      <name val="苹方-繁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8181-794C-EC4B-B3C3-EABA320FA879}">
  <dimension ref="A1:L9"/>
  <sheetViews>
    <sheetView tabSelected="1" zoomScale="182" workbookViewId="0">
      <selection activeCell="E5" sqref="E5"/>
    </sheetView>
  </sheetViews>
  <sheetFormatPr baseColWidth="10" defaultRowHeight="19"/>
  <cols>
    <col min="12" max="12" width="15.710937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 t="s">
        <v>1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spans="1:12">
      <c r="A2" s="1">
        <v>46253</v>
      </c>
      <c r="B2" t="s">
        <v>5</v>
      </c>
      <c r="C2" t="s">
        <v>6</v>
      </c>
      <c r="D2">
        <v>10</v>
      </c>
      <c r="E2" t="s">
        <v>7</v>
      </c>
      <c r="G2" t="s">
        <v>8</v>
      </c>
      <c r="H2">
        <f>SUMIFS($D$2:$D$9,$B$2:$B$9,G2)</f>
        <v>85</v>
      </c>
      <c r="I2">
        <f>COUNTIFS($B$2:$B$9,G2,$E$2:$E$9,"完成")</f>
        <v>3</v>
      </c>
      <c r="J2">
        <f>COUNTIFS($B$2:$B$9,G2,$E$2:$E$9,"落後")</f>
        <v>0</v>
      </c>
      <c r="K2">
        <f>SUMIFS($D$2:$D$9,$B$2:$B$9,G2,$E$2:$E$9,"完成")</f>
        <v>85</v>
      </c>
      <c r="L2">
        <f>IFERROR(AVERAGEIFS($D$2:$D$9,$B$2:$B$9,G2,$E$2:$E$9,"完成"),0)</f>
        <v>28.333333333333332</v>
      </c>
    </row>
    <row r="3" spans="1:12">
      <c r="A3" s="1">
        <v>46254</v>
      </c>
      <c r="B3" t="s">
        <v>8</v>
      </c>
      <c r="C3" t="s">
        <v>9</v>
      </c>
      <c r="D3">
        <v>60</v>
      </c>
      <c r="E3" t="s">
        <v>7</v>
      </c>
      <c r="G3" t="s">
        <v>12</v>
      </c>
      <c r="H3">
        <f t="shared" ref="H3:H4" si="0">SUMIFS($D$2:$D$9,$B$2:$B$9,G3)</f>
        <v>50</v>
      </c>
      <c r="I3">
        <f t="shared" ref="I3:I4" si="1">COUNTIFS($B$2:$B$9,G3,$E$2:$E$9,"完成")</f>
        <v>1</v>
      </c>
      <c r="J3">
        <f t="shared" ref="J3:J5" si="2">COUNTIFS($B$2:$B$9,G3,$E$2:$E$9,"落後")</f>
        <v>1</v>
      </c>
      <c r="K3">
        <f>SUMIFS($D$2:$D$9,$B$2:$B$9,G3,$E$2:$E$9,"完成")</f>
        <v>30</v>
      </c>
      <c r="L3">
        <f t="shared" ref="L3:L4" si="3">IFERROR(AVERAGEIFS($D$2:$D$9,$B$2:$B$9,G3,$E$2:$E$9,"完成"),0)</f>
        <v>30</v>
      </c>
    </row>
    <row r="4" spans="1:12">
      <c r="A4" s="1">
        <v>46255</v>
      </c>
      <c r="B4" t="s">
        <v>8</v>
      </c>
      <c r="C4" t="s">
        <v>10</v>
      </c>
      <c r="D4">
        <v>20</v>
      </c>
      <c r="E4" t="s">
        <v>7</v>
      </c>
      <c r="G4" t="s">
        <v>5</v>
      </c>
      <c r="H4">
        <f t="shared" si="0"/>
        <v>25</v>
      </c>
      <c r="I4">
        <f t="shared" si="1"/>
        <v>2</v>
      </c>
      <c r="J4">
        <f t="shared" si="2"/>
        <v>0</v>
      </c>
      <c r="K4">
        <f>SUMIFS($D$2:$D$9,$B$2:$B$9,G4,$E$2:$E$9,"完成")</f>
        <v>25</v>
      </c>
      <c r="L4">
        <f t="shared" si="3"/>
        <v>12.5</v>
      </c>
    </row>
    <row r="5" spans="1:12">
      <c r="A5" s="1">
        <v>46256</v>
      </c>
      <c r="B5" t="s">
        <v>8</v>
      </c>
      <c r="C5" t="s">
        <v>11</v>
      </c>
      <c r="D5">
        <v>5</v>
      </c>
      <c r="E5" t="s">
        <v>24</v>
      </c>
    </row>
    <row r="6" spans="1:12">
      <c r="A6" s="1">
        <v>46253</v>
      </c>
      <c r="B6" t="s">
        <v>12</v>
      </c>
      <c r="C6" t="s">
        <v>13</v>
      </c>
      <c r="D6">
        <v>20</v>
      </c>
      <c r="E6" t="s">
        <v>14</v>
      </c>
    </row>
    <row r="7" spans="1:12">
      <c r="A7" s="1">
        <v>46254</v>
      </c>
      <c r="B7" t="s">
        <v>12</v>
      </c>
      <c r="C7" t="s">
        <v>15</v>
      </c>
      <c r="D7">
        <v>30</v>
      </c>
      <c r="E7" t="s">
        <v>7</v>
      </c>
    </row>
    <row r="8" spans="1:12">
      <c r="A8" s="1">
        <v>46255</v>
      </c>
      <c r="B8" t="s">
        <v>5</v>
      </c>
      <c r="C8" t="s">
        <v>16</v>
      </c>
      <c r="D8">
        <v>15</v>
      </c>
      <c r="E8" t="s">
        <v>7</v>
      </c>
    </row>
    <row r="9" spans="1:12">
      <c r="A9" s="1">
        <v>46256</v>
      </c>
      <c r="B9" t="s">
        <v>12</v>
      </c>
      <c r="C9" t="s">
        <v>17</v>
      </c>
      <c r="D9">
        <v>0</v>
      </c>
      <c r="E9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Yunen</dc:creator>
  <cp:lastModifiedBy>Yunen</cp:lastModifiedBy>
  <dcterms:created xsi:type="dcterms:W3CDTF">2026-08-22T03:14:43Z</dcterms:created>
  <dcterms:modified xsi:type="dcterms:W3CDTF">2026-08-22T03:23:59Z</dcterms:modified>
</cp:coreProperties>
</file>