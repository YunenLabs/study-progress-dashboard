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zhongyunen/Documents/GitHub/study-progress-dashboard/data/"/>
    </mc:Choice>
  </mc:AlternateContent>
  <xr:revisionPtr revIDLastSave="0" documentId="13_ncr:1_{3829EB34-AE3B-D342-9111-8465127CE224}" xr6:coauthVersionLast="47" xr6:coauthVersionMax="47" xr10:uidLastSave="{00000000-0000-0000-0000-000000000000}"/>
  <bookViews>
    <workbookView xWindow="0" yWindow="660" windowWidth="29400" windowHeight="18460" xr2:uid="{62C025F8-00EB-FC44-844D-B29D70026CA5}"/>
  </bookViews>
  <sheets>
    <sheet name="工作表1" sheetId="1" r:id="rId1"/>
    <sheet name="樞紐分析" sheetId="4" r:id="rId2"/>
    <sheet name="Dashboard" sheetId="5" r:id="rId3"/>
  </sheets>
  <calcPr calcId="181029"/>
  <pivotCaches>
    <pivotCache cacheId="1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7" i="5" l="1"/>
  <c r="B16" i="5"/>
  <c r="B15" i="5"/>
</calcChain>
</file>

<file path=xl/sharedStrings.xml><?xml version="1.0" encoding="utf-8"?>
<sst xmlns="http://schemas.openxmlformats.org/spreadsheetml/2006/main" count="52" uniqueCount="31">
  <si>
    <t>日期</t>
  </si>
  <si>
    <t>類別</t>
  </si>
  <si>
    <t>任務</t>
  </si>
  <si>
    <t>實際分鐘</t>
  </si>
  <si>
    <t>狀態</t>
  </si>
  <si>
    <t>GitHub</t>
  </si>
  <si>
    <t>建立儲存庫</t>
  </si>
  <si>
    <t>完成</t>
  </si>
  <si>
    <t>Excel</t>
  </si>
  <si>
    <t>表格基礎</t>
  </si>
  <si>
    <t>邏輯函數</t>
  </si>
  <si>
    <t>條件統計</t>
  </si>
  <si>
    <t>總計</t>
  </si>
  <si>
    <t>8月19日</t>
  </si>
  <si>
    <t>8月20日</t>
  </si>
  <si>
    <t>8月21日</t>
  </si>
  <si>
    <t>8月22日</t>
  </si>
  <si>
    <t>Python</t>
  </si>
  <si>
    <t>變數練習</t>
  </si>
  <si>
    <t>落後</t>
  </si>
  <si>
    <t>IF 練習</t>
  </si>
  <si>
    <t>更新 README</t>
  </si>
  <si>
    <t>函數練習</t>
  </si>
  <si>
    <t>待開始</t>
  </si>
  <si>
    <t>加總 - 實際分鐘</t>
  </si>
  <si>
    <t>技能恢復期 Dashboard v0.1</t>
    <phoneticPr fontId="2" type="noConversion"/>
  </si>
  <si>
    <t>指標</t>
  </si>
  <si>
    <t>公式</t>
  </si>
  <si>
    <t>累計學習分鐘</t>
  </si>
  <si>
    <t>完成任務數</t>
  </si>
  <si>
    <t>任務完成率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</si>
</sst>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苹方-繁"/>
      <family val="2"/>
      <charset val="136"/>
    </font>
    <font>
      <b/>
      <sz val="12"/>
      <color theme="1"/>
      <name val="苹方-繁"/>
      <family val="2"/>
      <charset val="136"/>
    </font>
    <font>
      <sz val="9"/>
      <name val="苹方-繁"/>
      <family val="2"/>
      <charset val="136"/>
    </font>
    <font>
      <sz val="12"/>
      <color theme="1"/>
      <name val="Helvetica"/>
      <family val="2"/>
    </font>
    <font>
      <b/>
      <sz val="12"/>
      <color theme="1"/>
      <name val="Helvetica"/>
      <family val="2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NumberFormat="1">
      <alignment vertical="center"/>
    </xf>
    <xf numFmtId="0" fontId="5" fillId="0" borderId="0" xfId="0" applyFont="1">
      <alignment vertical="center"/>
    </xf>
    <xf numFmtId="10" fontId="0" fillId="0" borderId="0" xfId="0" applyNumberFormat="1">
      <alignment vertical="center"/>
    </xf>
    <xf numFmtId="10" fontId="5" fillId="0" borderId="0" xfId="0" applyNumberFormat="1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[Daily_Log0826.xlsx]樞紐分析!樞紐分析表3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樞紐分析!$B$1:$B$2</c:f>
              <c:strCache>
                <c:ptCount val="1"/>
                <c:pt idx="0">
                  <c:v>完成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樞紐分析!$A$3:$A$6</c:f>
              <c:strCache>
                <c:ptCount val="3"/>
                <c:pt idx="0">
                  <c:v>Excel</c:v>
                </c:pt>
                <c:pt idx="1">
                  <c:v>GitHub</c:v>
                </c:pt>
                <c:pt idx="2">
                  <c:v>Python</c:v>
                </c:pt>
              </c:strCache>
            </c:strRef>
          </c:cat>
          <c:val>
            <c:numRef>
              <c:f>樞紐分析!$B$3:$B$6</c:f>
              <c:numCache>
                <c:formatCode>General</c:formatCode>
                <c:ptCount val="3"/>
                <c:pt idx="0">
                  <c:v>85</c:v>
                </c:pt>
                <c:pt idx="1">
                  <c:v>25</c:v>
                </c:pt>
                <c:pt idx="2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AE-A747-894E-1BA773272799}"/>
            </c:ext>
          </c:extLst>
        </c:ser>
        <c:ser>
          <c:idx val="1"/>
          <c:order val="1"/>
          <c:tx>
            <c:strRef>
              <c:f>樞紐分析!$C$1:$C$2</c:f>
              <c:strCache>
                <c:ptCount val="1"/>
                <c:pt idx="0">
                  <c:v>待開始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樞紐分析!$A$3:$A$6</c:f>
              <c:strCache>
                <c:ptCount val="3"/>
                <c:pt idx="0">
                  <c:v>Excel</c:v>
                </c:pt>
                <c:pt idx="1">
                  <c:v>GitHub</c:v>
                </c:pt>
                <c:pt idx="2">
                  <c:v>Python</c:v>
                </c:pt>
              </c:strCache>
            </c:strRef>
          </c:cat>
          <c:val>
            <c:numRef>
              <c:f>樞紐分析!$C$3:$C$6</c:f>
              <c:numCache>
                <c:formatCode>General</c:formatCode>
                <c:ptCount val="3"/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AE-A747-894E-1BA773272799}"/>
            </c:ext>
          </c:extLst>
        </c:ser>
        <c:ser>
          <c:idx val="2"/>
          <c:order val="2"/>
          <c:tx>
            <c:strRef>
              <c:f>樞紐分析!$D$1:$D$2</c:f>
              <c:strCache>
                <c:ptCount val="1"/>
                <c:pt idx="0">
                  <c:v>落後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樞紐分析!$A$3:$A$6</c:f>
              <c:strCache>
                <c:ptCount val="3"/>
                <c:pt idx="0">
                  <c:v>Excel</c:v>
                </c:pt>
                <c:pt idx="1">
                  <c:v>GitHub</c:v>
                </c:pt>
                <c:pt idx="2">
                  <c:v>Python</c:v>
                </c:pt>
              </c:strCache>
            </c:strRef>
          </c:cat>
          <c:val>
            <c:numRef>
              <c:f>樞紐分析!$D$3:$D$6</c:f>
              <c:numCache>
                <c:formatCode>General</c:formatCode>
                <c:ptCount val="3"/>
                <c:pt idx="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AE-A747-894E-1BA7732727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9698432"/>
        <c:axId val="309697536"/>
      </c:barChart>
      <c:catAx>
        <c:axId val="3096984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8</a:t>
                </a:r>
                <a:r>
                  <a:rPr lang="zh-TW" altLang="en-US"/>
                  <a:t>月技能恢復期學習分鐘</a:t>
                </a:r>
                <a:endParaRPr lang="en-US" altLang="zh-TW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09697536"/>
        <c:crosses val="autoZero"/>
        <c:auto val="1"/>
        <c:lblAlgn val="ctr"/>
        <c:lblOffset val="100"/>
        <c:noMultiLvlLbl val="0"/>
      </c:catAx>
      <c:valAx>
        <c:axId val="309697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09698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6350</xdr:rowOff>
    </xdr:from>
    <xdr:to>
      <xdr:col>5</xdr:col>
      <xdr:colOff>57150</xdr:colOff>
      <xdr:row>13</xdr:row>
      <xdr:rowOff>0</xdr:rowOff>
    </xdr:to>
    <xdr:graphicFrame macro="">
      <xdr:nvGraphicFramePr>
        <xdr:cNvPr id="2" name="8月技能恢復期學習分鐘">
          <a:extLst>
            <a:ext uri="{FF2B5EF4-FFF2-40B4-BE49-F238E27FC236}">
              <a16:creationId xmlns:a16="http://schemas.microsoft.com/office/drawing/2014/main" id="{A25883C4-E891-D84D-9C78-353E38B959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unen" refreshedDate="46260.691510532408" createdVersion="8" refreshedVersion="8" minRefreshableVersion="3" recordCount="8" xr:uid="{06D4527E-651C-E545-9CF8-F4B06108B29F}">
  <cacheSource type="worksheet">
    <worksheetSource ref="A1:E9" sheet="工作表1"/>
  </cacheSource>
  <cacheFields count="5">
    <cacheField name="日期" numFmtId="0">
      <sharedItems count="4">
        <s v="8月19日"/>
        <s v="8月20日"/>
        <s v="8月21日"/>
        <s v="8月22日"/>
      </sharedItems>
    </cacheField>
    <cacheField name="類別" numFmtId="0">
      <sharedItems count="3">
        <s v="GitHub"/>
        <s v="Excel"/>
        <s v="Python"/>
      </sharedItems>
    </cacheField>
    <cacheField name="任務" numFmtId="0">
      <sharedItems count="8">
        <s v="建立儲存庫"/>
        <s v="表格基礎"/>
        <s v="邏輯函數"/>
        <s v="條件統計"/>
        <s v="變數練習"/>
        <s v="IF 練習"/>
        <s v="更新 README"/>
        <s v="函數練習"/>
      </sharedItems>
    </cacheField>
    <cacheField name="實際分鐘" numFmtId="0">
      <sharedItems containsSemiMixedTypes="0" containsString="0" containsNumber="1" containsInteger="1" minValue="0" maxValue="60"/>
    </cacheField>
    <cacheField name="狀態" numFmtId="0">
      <sharedItems count="3">
        <s v="完成"/>
        <s v="落後"/>
        <s v="待開始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x v="0"/>
    <n v="10"/>
    <x v="0"/>
  </r>
  <r>
    <x v="1"/>
    <x v="1"/>
    <x v="1"/>
    <n v="60"/>
    <x v="0"/>
  </r>
  <r>
    <x v="2"/>
    <x v="1"/>
    <x v="2"/>
    <n v="20"/>
    <x v="0"/>
  </r>
  <r>
    <x v="3"/>
    <x v="1"/>
    <x v="3"/>
    <n v="5"/>
    <x v="0"/>
  </r>
  <r>
    <x v="0"/>
    <x v="2"/>
    <x v="4"/>
    <n v="20"/>
    <x v="1"/>
  </r>
  <r>
    <x v="1"/>
    <x v="2"/>
    <x v="5"/>
    <n v="30"/>
    <x v="0"/>
  </r>
  <r>
    <x v="2"/>
    <x v="0"/>
    <x v="6"/>
    <n v="15"/>
    <x v="0"/>
  </r>
  <r>
    <x v="3"/>
    <x v="2"/>
    <x v="7"/>
    <n v="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B741EF-4940-F24C-B74A-5A2DF650EE7E}" name="樞紐分析表3" cacheId="17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showHeaders="0" outline="1" outlineData="1" multipleFieldFilters="0" chartFormat="10">
  <location ref="A1:E6" firstHeaderRow="1" firstDataRow="2" firstDataCol="1"/>
  <pivotFields count="5">
    <pivotField showAll="0">
      <items count="5">
        <item x="0"/>
        <item x="1"/>
        <item x="2"/>
        <item x="3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>
      <items count="9">
        <item x="5"/>
        <item x="6"/>
        <item x="7"/>
        <item x="1"/>
        <item x="0"/>
        <item x="3"/>
        <item x="4"/>
        <item x="2"/>
        <item t="default"/>
      </items>
    </pivotField>
    <pivotField dataField="1" showAll="0"/>
    <pivotField axis="axisCol" showAll="0">
      <items count="4">
        <item x="0"/>
        <item x="2"/>
        <item x="1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加總 - 實際分鐘" fld="3" baseField="0" baseItem="0"/>
  </dataFields>
  <chartFormats count="6"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31A39-DD43-7F4D-8EAD-CB18788E0942}">
  <dimension ref="A1:E9"/>
  <sheetViews>
    <sheetView tabSelected="1" zoomScale="233" zoomScaleNormal="100" workbookViewId="0"/>
  </sheetViews>
  <sheetFormatPr baseColWidth="10" defaultRowHeight="19"/>
  <sheetData>
    <row r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>
      <c r="A2" s="5" t="s">
        <v>13</v>
      </c>
      <c r="B2" s="5" t="s">
        <v>5</v>
      </c>
      <c r="C2" s="5" t="s">
        <v>6</v>
      </c>
      <c r="D2" s="5">
        <v>10</v>
      </c>
      <c r="E2" s="5" t="s">
        <v>7</v>
      </c>
    </row>
    <row r="3" spans="1:5">
      <c r="A3" s="5" t="s">
        <v>14</v>
      </c>
      <c r="B3" s="5" t="s">
        <v>8</v>
      </c>
      <c r="C3" s="5" t="s">
        <v>9</v>
      </c>
      <c r="D3" s="5">
        <v>60</v>
      </c>
      <c r="E3" s="5" t="s">
        <v>7</v>
      </c>
    </row>
    <row r="4" spans="1:5">
      <c r="A4" s="5" t="s">
        <v>15</v>
      </c>
      <c r="B4" s="5" t="s">
        <v>8</v>
      </c>
      <c r="C4" s="5" t="s">
        <v>10</v>
      </c>
      <c r="D4" s="5">
        <v>20</v>
      </c>
      <c r="E4" s="5" t="s">
        <v>7</v>
      </c>
    </row>
    <row r="5" spans="1:5">
      <c r="A5" s="5" t="s">
        <v>16</v>
      </c>
      <c r="B5" s="5" t="s">
        <v>8</v>
      </c>
      <c r="C5" s="5" t="s">
        <v>11</v>
      </c>
      <c r="D5" s="5">
        <v>5</v>
      </c>
      <c r="E5" s="5" t="s">
        <v>7</v>
      </c>
    </row>
    <row r="6" spans="1:5">
      <c r="A6" s="5" t="s">
        <v>13</v>
      </c>
      <c r="B6" s="5" t="s">
        <v>17</v>
      </c>
      <c r="C6" s="5" t="s">
        <v>18</v>
      </c>
      <c r="D6" s="5">
        <v>20</v>
      </c>
      <c r="E6" s="5" t="s">
        <v>19</v>
      </c>
    </row>
    <row r="7" spans="1:5">
      <c r="A7" s="5" t="s">
        <v>14</v>
      </c>
      <c r="B7" s="5" t="s">
        <v>17</v>
      </c>
      <c r="C7" s="5" t="s">
        <v>20</v>
      </c>
      <c r="D7" s="5">
        <v>30</v>
      </c>
      <c r="E7" s="5" t="s">
        <v>7</v>
      </c>
    </row>
    <row r="8" spans="1:5">
      <c r="A8" s="5" t="s">
        <v>15</v>
      </c>
      <c r="B8" s="5" t="s">
        <v>5</v>
      </c>
      <c r="C8" s="5" t="s">
        <v>21</v>
      </c>
      <c r="D8" s="5">
        <v>15</v>
      </c>
      <c r="E8" s="5" t="s">
        <v>7</v>
      </c>
    </row>
    <row r="9" spans="1:5">
      <c r="A9" s="5" t="s">
        <v>16</v>
      </c>
      <c r="B9" s="5" t="s">
        <v>17</v>
      </c>
      <c r="C9" s="5" t="s">
        <v>22</v>
      </c>
      <c r="D9" s="5">
        <v>0</v>
      </c>
      <c r="E9" s="5" t="s">
        <v>23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6A4C8-4216-F145-A2FB-F638671AFCD5}">
  <dimension ref="A1:E6"/>
  <sheetViews>
    <sheetView zoomScale="188" zoomScaleNormal="125" workbookViewId="0">
      <selection activeCell="C5" sqref="C5"/>
    </sheetView>
  </sheetViews>
  <sheetFormatPr baseColWidth="10" defaultRowHeight="19"/>
  <cols>
    <col min="1" max="1" width="14.28515625" bestFit="1" customWidth="1"/>
    <col min="2" max="2" width="5.140625" bestFit="1" customWidth="1"/>
    <col min="3" max="3" width="6.85546875" bestFit="1" customWidth="1"/>
    <col min="4" max="5" width="5.140625" bestFit="1" customWidth="1"/>
    <col min="6" max="6" width="14.28515625" bestFit="1" customWidth="1"/>
    <col min="8" max="8" width="20.5703125" bestFit="1" customWidth="1"/>
    <col min="9" max="9" width="16.85546875" bestFit="1" customWidth="1"/>
  </cols>
  <sheetData>
    <row r="1" spans="1:5">
      <c r="A1" s="2" t="s">
        <v>24</v>
      </c>
    </row>
    <row r="2" spans="1:5">
      <c r="B2" t="s">
        <v>7</v>
      </c>
      <c r="C2" t="s">
        <v>23</v>
      </c>
      <c r="D2" t="s">
        <v>19</v>
      </c>
      <c r="E2" t="s">
        <v>12</v>
      </c>
    </row>
    <row r="3" spans="1:5">
      <c r="A3" s="3" t="s">
        <v>8</v>
      </c>
      <c r="B3" s="6">
        <v>85</v>
      </c>
      <c r="C3" s="6"/>
      <c r="D3" s="6"/>
      <c r="E3" s="6">
        <v>85</v>
      </c>
    </row>
    <row r="4" spans="1:5">
      <c r="A4" s="3" t="s">
        <v>5</v>
      </c>
      <c r="B4" s="6">
        <v>25</v>
      </c>
      <c r="C4" s="6"/>
      <c r="D4" s="6"/>
      <c r="E4" s="6">
        <v>25</v>
      </c>
    </row>
    <row r="5" spans="1:5">
      <c r="A5" s="3" t="s">
        <v>17</v>
      </c>
      <c r="B5" s="6">
        <v>30</v>
      </c>
      <c r="C5" s="6">
        <v>0</v>
      </c>
      <c r="D5" s="6">
        <v>20</v>
      </c>
      <c r="E5" s="6">
        <v>50</v>
      </c>
    </row>
    <row r="6" spans="1:5">
      <c r="A6" s="3" t="s">
        <v>12</v>
      </c>
      <c r="B6" s="6">
        <v>140</v>
      </c>
      <c r="C6" s="6">
        <v>0</v>
      </c>
      <c r="D6" s="6">
        <v>20</v>
      </c>
      <c r="E6" s="6">
        <v>160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1EC0D-9937-7E4B-B02F-9E1B9E17438B}">
  <dimension ref="A1:B17"/>
  <sheetViews>
    <sheetView topLeftCell="A3" zoomScale="200" workbookViewId="0">
      <selection activeCell="B17" sqref="B17"/>
    </sheetView>
  </sheetViews>
  <sheetFormatPr baseColWidth="10" defaultRowHeight="19"/>
  <cols>
    <col min="1" max="1" width="24" bestFit="1" customWidth="1"/>
  </cols>
  <sheetData>
    <row r="1" spans="1:2">
      <c r="A1" t="s">
        <v>25</v>
      </c>
    </row>
    <row r="14" spans="1:2">
      <c r="A14" s="1" t="s">
        <v>26</v>
      </c>
      <c r="B14" s="1" t="s">
        <v>27</v>
      </c>
    </row>
    <row r="15" spans="1:2">
      <c r="A15" t="s">
        <v>28</v>
      </c>
      <c r="B15" s="7">
        <f>SUM(工作表1!$D$2:$D$100)</f>
        <v>160</v>
      </c>
    </row>
    <row r="16" spans="1:2">
      <c r="A16" t="s">
        <v>29</v>
      </c>
      <c r="B16" s="7">
        <f>COUNTIF(工作表1!$E$2:$E$100,"完成")</f>
        <v>6</v>
      </c>
    </row>
    <row r="17" spans="1:2">
      <c r="A17" s="8" t="s">
        <v>30</v>
      </c>
      <c r="B17" s="9">
        <f>IFERROR(COUNTIF(工作表1!$E$2:$E$100,"完成")/COUNTA(工作表1!$C$2:$C$100),0)</f>
        <v>0.75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樞紐分析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Yunen</dc:creator>
  <cp:lastModifiedBy>Yunen</cp:lastModifiedBy>
  <dcterms:created xsi:type="dcterms:W3CDTF">2026-08-26T08:11:31Z</dcterms:created>
  <dcterms:modified xsi:type="dcterms:W3CDTF">2026-08-26T08:57:16Z</dcterms:modified>
</cp:coreProperties>
</file>